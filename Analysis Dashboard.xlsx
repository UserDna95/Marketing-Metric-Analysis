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115cba32a3de59/Desktop/Datasets/Projects to do/marketinganalysisandworkflow/"/>
    </mc:Choice>
  </mc:AlternateContent>
  <xr:revisionPtr revIDLastSave="183" documentId="8_{A5B388E9-DBB1-49E2-A1DA-363658AC0DEE}" xr6:coauthVersionLast="47" xr6:coauthVersionMax="47" xr10:uidLastSave="{D174B230-ADBD-45F4-B4AE-0FC1C89BDCAE}"/>
  <bookViews>
    <workbookView xWindow="-120" yWindow="-120" windowWidth="29040" windowHeight="15840" activeTab="3" xr2:uid="{0A96D0EF-1882-4F5B-A6E9-27D23AD74FFA}"/>
  </bookViews>
  <sheets>
    <sheet name="campaign_summary" sheetId="3" r:id="rId1"/>
    <sheet name="anova_results" sheetId="2" r:id="rId2"/>
    <sheet name="tukey_results" sheetId="4" r:id="rId3"/>
    <sheet name="Executive Summary" sheetId="5" r:id="rId4"/>
  </sheets>
  <definedNames>
    <definedName name="ExternalData_1" localSheetId="1" hidden="1">anova_results!$A$1:$E$2</definedName>
    <definedName name="ExternalData_1" localSheetId="3" hidden="1">'Executive Summary'!#REF!</definedName>
    <definedName name="ExternalData_2" localSheetId="0" hidden="1">'campaign_summary'!$A$1:$F$12</definedName>
    <definedName name="ExternalData_2" localSheetId="2" hidden="1">tukey_results!$A$1:$H$56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B69126-74C3-4BFA-93C6-A64C2C910F91}" keepAlive="1" name="Query - anova_results" description="Connection to the 'anova_results' query in the workbook." type="5" refreshedVersion="8" background="1" saveData="1">
    <dbPr connection="Provider=Microsoft.Mashup.OleDb.1;Data Source=$Workbook$;Location=anova_results;Extended Properties=&quot;&quot;" command="SELECT * FROM [anova_results]"/>
  </connection>
  <connection id="2" xr16:uid="{356A2AF8-B272-45C9-A69B-DD5D37CCC99B}" keepAlive="1" name="Query - anova_results (2)" description="Connection to the 'anova_results (2)' query in the workbook." type="5" refreshedVersion="8" background="1" saveData="1">
    <dbPr connection="Provider=Microsoft.Mashup.OleDb.1;Data Source=$Workbook$;Location=&quot;anova_results (2)&quot;;Extended Properties=&quot;&quot;" command="SELECT * FROM [anova_results (2)]"/>
  </connection>
  <connection id="3" xr16:uid="{E82AE0D2-9A79-4C50-95E7-C0C7495F8517}" keepAlive="1" name="Query - campaign_summary" description="Connection to the 'campaign_summary' query in the workbook." type="5" refreshedVersion="8" background="1" saveData="1">
    <dbPr connection="Provider=Microsoft.Mashup.OleDb.1;Data Source=$Workbook$;Location=campaign_summary;Extended Properties=&quot;&quot;" command="SELECT * FROM [campaign_summary]"/>
  </connection>
  <connection id="4" xr16:uid="{E33714B9-04C4-4416-957A-71771A80CE06}" keepAlive="1" name="Query - tukey_results" description="Connection to the 'tukey_results' query in the workbook." type="5" refreshedVersion="8" background="1" saveData="1">
    <dbPr connection="Provider=Microsoft.Mashup.OleDb.1;Data Source=$Workbook$;Location=tukey_results;Extended Properties=&quot;&quot;" command="SELECT * FROM [tukey_results]"/>
  </connection>
</connections>
</file>

<file path=xl/sharedStrings.xml><?xml version="1.0" encoding="utf-8"?>
<sst xmlns="http://schemas.openxmlformats.org/spreadsheetml/2006/main" count="194" uniqueCount="54">
  <si>
    <t>test</t>
  </si>
  <si>
    <t>f_statistic</t>
  </si>
  <si>
    <t>p_value</t>
  </si>
  <si>
    <t>eta_squared</t>
  </si>
  <si>
    <t>interpretation</t>
  </si>
  <si>
    <t>Welch ANOVA</t>
  </si>
  <si>
    <t>Large effect</t>
  </si>
  <si>
    <t>campaign</t>
  </si>
  <si>
    <t>mean_roas</t>
  </si>
  <si>
    <t>median_roas</t>
  </si>
  <si>
    <t>std_roas</t>
  </si>
  <si>
    <t>n</t>
  </si>
  <si>
    <t>tier</t>
  </si>
  <si>
    <t>youtube_blogger</t>
  </si>
  <si>
    <t>Tier 1 – Scale</t>
  </si>
  <si>
    <t>facebook_retargeting</t>
  </si>
  <si>
    <t>Tier 2 – Optimize</t>
  </si>
  <si>
    <t>google_hot</t>
  </si>
  <si>
    <t>instagram_tier1</t>
  </si>
  <si>
    <t>instagram_blogger</t>
  </si>
  <si>
    <t>Tier 3 – Monitor</t>
  </si>
  <si>
    <t>banner_partner</t>
  </si>
  <si>
    <t>facebook_tier1</t>
  </si>
  <si>
    <t>facebook_tier2</t>
  </si>
  <si>
    <t>Tier 4 – Deprioritize</t>
  </si>
  <si>
    <t>google_wide</t>
  </si>
  <si>
    <t>instagram_tier2</t>
  </si>
  <si>
    <t>facebook_lal</t>
  </si>
  <si>
    <t>group1</t>
  </si>
  <si>
    <t>group2</t>
  </si>
  <si>
    <t>meandiff</t>
  </si>
  <si>
    <t>p-adj</t>
  </si>
  <si>
    <t>lower</t>
  </si>
  <si>
    <t>upper</t>
  </si>
  <si>
    <t>reject</t>
  </si>
  <si>
    <t>significant</t>
  </si>
  <si>
    <t>Marketing Campaign Performance Analysis (ROAS)</t>
  </si>
  <si>
    <t>Statistically validated using Welch ANOVA and Tukey HSD</t>
  </si>
  <si>
    <t>Reccomendation</t>
  </si>
  <si>
    <t>Optimize</t>
  </si>
  <si>
    <t>Monitor</t>
  </si>
  <si>
    <t>Deprioritize</t>
  </si>
  <si>
    <t>Tier 1</t>
  </si>
  <si>
    <t xml:space="preserve">Tier 2 </t>
  </si>
  <si>
    <t>Tier 3</t>
  </si>
  <si>
    <t xml:space="preserve">Tier 3 </t>
  </si>
  <si>
    <t>Tier 4</t>
  </si>
  <si>
    <t xml:space="preserve">Tier 4 </t>
  </si>
  <si>
    <t>Scale</t>
  </si>
  <si>
    <t>Mean Roas</t>
  </si>
  <si>
    <t>Tier</t>
  </si>
  <si>
    <t>Campaign</t>
  </si>
  <si>
    <t xml:space="preserve">Our analysis shows clear, statistically significant ROAS differences across 11 campaigns (Welch ANOVA, p &lt; 0.001; η² = 0.177). Tukey HSD groups campaigns into four tiers, highlighting where to scale, optimize, monitor, or reallocate spend. The dashboard summarizes these insights through KPI cards, a tiered performance chart, and a bar chart to guide decisions. </t>
  </si>
  <si>
    <t>Reccomendation: Shifting 20% of spend away from Tier 4 campaigns and reallocating it to Tier 1 increases expected ROAS by directing budget toward the highest‑performing channels. This possible scenario demonstrates how redistributing even a small portion of spend from underperforming campaigns can meaningfully improve total return without increasing overall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</si>
</sst>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Summary'!$B$8</c:f>
              <c:strCache>
                <c:ptCount val="1"/>
                <c:pt idx="0">
                  <c:v>Mean Roas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Summary'!$A$9:$A$19</c:f>
              <c:strCache>
                <c:ptCount val="11"/>
                <c:pt idx="0">
                  <c:v>youtube_blogger</c:v>
                </c:pt>
                <c:pt idx="1">
                  <c:v>facebook_retargeting</c:v>
                </c:pt>
                <c:pt idx="2">
                  <c:v>google_hot</c:v>
                </c:pt>
                <c:pt idx="3">
                  <c:v>instagram_tier1</c:v>
                </c:pt>
                <c:pt idx="4">
                  <c:v>instagram_blogger</c:v>
                </c:pt>
                <c:pt idx="5">
                  <c:v>banner_partner</c:v>
                </c:pt>
                <c:pt idx="6">
                  <c:v>facebook_tier1</c:v>
                </c:pt>
                <c:pt idx="7">
                  <c:v>facebook_tier2</c:v>
                </c:pt>
                <c:pt idx="8">
                  <c:v>google_wide</c:v>
                </c:pt>
                <c:pt idx="9">
                  <c:v>instagram_tier2</c:v>
                </c:pt>
                <c:pt idx="10">
                  <c:v>facebook_lal</c:v>
                </c:pt>
              </c:strCache>
            </c:strRef>
          </c:cat>
          <c:val>
            <c:numRef>
              <c:f>'Executive Summary'!$B$9:$B$19</c:f>
              <c:numCache>
                <c:formatCode>General</c:formatCode>
                <c:ptCount val="11"/>
                <c:pt idx="0">
                  <c:v>4.068700436262823</c:v>
                </c:pt>
                <c:pt idx="1">
                  <c:v>2.4502626346258052</c:v>
                </c:pt>
                <c:pt idx="2">
                  <c:v>1.7086533327481079</c:v>
                </c:pt>
                <c:pt idx="3">
                  <c:v>1.6459207759482199</c:v>
                </c:pt>
                <c:pt idx="4">
                  <c:v>1.331378100191825</c:v>
                </c:pt>
                <c:pt idx="5">
                  <c:v>1.2422605435443319</c:v>
                </c:pt>
                <c:pt idx="6">
                  <c:v>0.93362410142584307</c:v>
                </c:pt>
                <c:pt idx="7">
                  <c:v>0.70915232790655669</c:v>
                </c:pt>
                <c:pt idx="8">
                  <c:v>0.67417410929151023</c:v>
                </c:pt>
                <c:pt idx="9">
                  <c:v>0.60049886572300371</c:v>
                </c:pt>
                <c:pt idx="10">
                  <c:v>0.119101853921436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C-4E7A-BE97-11C3F8529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456320"/>
        <c:axId val="1244464480"/>
      </c:barChart>
      <c:catAx>
        <c:axId val="124445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64480"/>
        <c:crosses val="autoZero"/>
        <c:auto val="1"/>
        <c:lblAlgn val="ctr"/>
        <c:lblOffset val="100"/>
        <c:noMultiLvlLbl val="0"/>
      </c:catAx>
      <c:valAx>
        <c:axId val="124446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</xdr:rowOff>
    </xdr:from>
    <xdr:to>
      <xdr:col>1</xdr:col>
      <xdr:colOff>800100</xdr:colOff>
      <xdr:row>6</xdr:row>
      <xdr:rowOff>9525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C6DB11B-200A-4CAC-A9C0-1503092B5214}"/>
            </a:ext>
          </a:extLst>
        </xdr:cNvPr>
        <xdr:cNvSpPr/>
      </xdr:nvSpPr>
      <xdr:spPr>
        <a:xfrm>
          <a:off x="0" y="742950"/>
          <a:ext cx="2219325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/>
            <a:t>Best Campaign:</a:t>
          </a:r>
          <a:r>
            <a:rPr lang="en-CA" sz="1100" baseline="0"/>
            <a:t> Youtube_blogger</a:t>
          </a:r>
          <a:br>
            <a:rPr lang="en-CA" sz="1100" baseline="0"/>
          </a:br>
          <a:r>
            <a:rPr lang="en-CA" sz="1100" baseline="0"/>
            <a:t>ROAS: </a:t>
          </a:r>
          <a:r>
            <a:rPr lang="en-CA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4.069</a:t>
          </a:r>
          <a:r>
            <a:rPr lang="en-CA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CA">
            <a:effectLst/>
          </a:endParaRPr>
        </a:p>
        <a:p>
          <a:pPr algn="l"/>
          <a:br>
            <a:rPr lang="en-CA" sz="1100" baseline="0"/>
          </a:br>
          <a:endParaRPr lang="en-CA" sz="1100"/>
        </a:p>
      </xdr:txBody>
    </xdr:sp>
    <xdr:clientData/>
  </xdr:twoCellAnchor>
  <xdr:twoCellAnchor>
    <xdr:from>
      <xdr:col>3</xdr:col>
      <xdr:colOff>838199</xdr:colOff>
      <xdr:row>3</xdr:row>
      <xdr:rowOff>9526</xdr:rowOff>
    </xdr:from>
    <xdr:to>
      <xdr:col>5</xdr:col>
      <xdr:colOff>466725</xdr:colOff>
      <xdr:row>5</xdr:row>
      <xdr:rowOff>180975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3A751B9-38A9-4835-9206-867BC4C2114A}"/>
            </a:ext>
          </a:extLst>
        </xdr:cNvPr>
        <xdr:cNvSpPr/>
      </xdr:nvSpPr>
      <xdr:spPr>
        <a:xfrm>
          <a:off x="4333874" y="742951"/>
          <a:ext cx="1647826" cy="55244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Effect Size:</a:t>
          </a:r>
          <a:r>
            <a:rPr lang="en-CA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177.087</a:t>
          </a:r>
          <a:b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Large practical effect</a:t>
          </a:r>
          <a:r>
            <a:rPr lang="en-CA">
              <a:effectLst/>
            </a:rPr>
            <a:t> </a:t>
          </a:r>
          <a:endParaRPr lang="en-CA" sz="1100"/>
        </a:p>
      </xdr:txBody>
    </xdr:sp>
    <xdr:clientData/>
  </xdr:twoCellAnchor>
  <xdr:twoCellAnchor>
    <xdr:from>
      <xdr:col>1</xdr:col>
      <xdr:colOff>847725</xdr:colOff>
      <xdr:row>3</xdr:row>
      <xdr:rowOff>9525</xdr:rowOff>
    </xdr:from>
    <xdr:to>
      <xdr:col>3</xdr:col>
      <xdr:colOff>790575</xdr:colOff>
      <xdr:row>6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C1F9DE9-92E9-45F3-B732-7ADA1140A677}"/>
            </a:ext>
          </a:extLst>
        </xdr:cNvPr>
        <xdr:cNvSpPr/>
      </xdr:nvSpPr>
      <xdr:spPr>
        <a:xfrm>
          <a:off x="2266950" y="742950"/>
          <a:ext cx="2019300" cy="5619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/>
            <a:t>Worst Campaign: Facebook_lal</a:t>
          </a:r>
          <a:br>
            <a:rPr lang="en-CA" sz="1100"/>
          </a:br>
          <a:r>
            <a:rPr lang="en-CA" sz="1100"/>
            <a:t>ROAS: </a:t>
          </a:r>
          <a:r>
            <a:rPr lang="en-CA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0.119</a:t>
          </a:r>
          <a:endParaRPr lang="en-CA">
            <a:effectLst/>
          </a:endParaRPr>
        </a:p>
        <a:p>
          <a:pPr algn="l"/>
          <a:endParaRPr lang="en-CA" sz="1100"/>
        </a:p>
      </xdr:txBody>
    </xdr:sp>
    <xdr:clientData/>
  </xdr:twoCellAnchor>
  <xdr:twoCellAnchor>
    <xdr:from>
      <xdr:col>5</xdr:col>
      <xdr:colOff>514349</xdr:colOff>
      <xdr:row>2</xdr:row>
      <xdr:rowOff>180975</xdr:rowOff>
    </xdr:from>
    <xdr:to>
      <xdr:col>6</xdr:col>
      <xdr:colOff>333374</xdr:colOff>
      <xdr:row>5</xdr:row>
      <xdr:rowOff>180974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9812490-3424-4B02-B3FD-0ABD20315343}"/>
            </a:ext>
          </a:extLst>
        </xdr:cNvPr>
        <xdr:cNvSpPr/>
      </xdr:nvSpPr>
      <xdr:spPr>
        <a:xfrm>
          <a:off x="6029324" y="723900"/>
          <a:ext cx="1590675" cy="57149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P-value:</a:t>
          </a:r>
          <a:r>
            <a:rPr lang="en-CA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6.08976E-74</a:t>
          </a:r>
          <a:b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CA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CA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&lt; 0.001(Significant)</a:t>
          </a:r>
          <a:endParaRPr lang="en-CA">
            <a:effectLst/>
          </a:endParaRPr>
        </a:p>
        <a:p>
          <a:pPr algn="l"/>
          <a:r>
            <a:rPr lang="en-CA">
              <a:effectLst/>
            </a:rPr>
            <a:t> </a:t>
          </a:r>
          <a:endParaRPr lang="en-CA" sz="1100"/>
        </a:p>
      </xdr:txBody>
    </xdr:sp>
    <xdr:clientData/>
  </xdr:twoCellAnchor>
  <xdr:twoCellAnchor>
    <xdr:from>
      <xdr:col>4</xdr:col>
      <xdr:colOff>57150</xdr:colOff>
      <xdr:row>7</xdr:row>
      <xdr:rowOff>4762</xdr:rowOff>
    </xdr:from>
    <xdr:to>
      <xdr:col>9</xdr:col>
      <xdr:colOff>419100</xdr:colOff>
      <xdr:row>19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C30D5B-9FEF-650D-457E-AF2CE316D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07773DF-B24F-4109-894B-D95B753BC0D2}" autoFormatId="16" applyNumberFormats="0" applyBorderFormats="0" applyFontFormats="0" applyPatternFormats="0" applyAlignmentFormats="0" applyWidthHeightFormats="0">
  <queryTableRefresh nextId="7">
    <queryTableFields count="6">
      <queryTableField id="1" name="campaign" tableColumnId="1"/>
      <queryTableField id="2" name="mean_roas" tableColumnId="2"/>
      <queryTableField id="3" name="median_roas" tableColumnId="3"/>
      <queryTableField id="4" name="std_roas" tableColumnId="4"/>
      <queryTableField id="5" name="n" tableColumnId="5"/>
      <queryTableField id="6" name="ti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D40535-C10C-4317-80D0-F9684CE6617C}" autoFormatId="16" applyNumberFormats="0" applyBorderFormats="0" applyFontFormats="0" applyPatternFormats="0" applyAlignmentFormats="0" applyWidthHeightFormats="0">
  <queryTableRefresh nextId="6">
    <queryTableFields count="5">
      <queryTableField id="1" name="test" tableColumnId="1"/>
      <queryTableField id="2" name="f_statistic" tableColumnId="2"/>
      <queryTableField id="3" name="p_value" tableColumnId="3"/>
      <queryTableField id="4" name="eta_squared" tableColumnId="4"/>
      <queryTableField id="5" name="interpreta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0079024-3A8F-468F-9555-654FF8A0B609}" autoFormatId="16" applyNumberFormats="0" applyBorderFormats="0" applyFontFormats="0" applyPatternFormats="0" applyAlignmentFormats="0" applyWidthHeightFormats="0">
  <queryTableRefresh nextId="9">
    <queryTableFields count="8">
      <queryTableField id="1" name="group1" tableColumnId="1"/>
      <queryTableField id="2" name="group2" tableColumnId="2"/>
      <queryTableField id="3" name="meandiff" tableColumnId="3"/>
      <queryTableField id="4" name="p-adj" tableColumnId="4"/>
      <queryTableField id="5" name="lower" tableColumnId="5"/>
      <queryTableField id="6" name="upper" tableColumnId="6"/>
      <queryTableField id="7" name="reject" tableColumnId="7"/>
      <queryTableField id="8" name="significa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1D4B9-BFF9-4CF7-97A8-DA01FA1B1953}" name="campaign_summary" displayName="campaign_summary" ref="A1:F12" tableType="queryTable" totalsRowShown="0">
  <autoFilter ref="A1:F12" xr:uid="{FD21D4B9-BFF9-4CF7-97A8-DA01FA1B1953}"/>
  <tableColumns count="6">
    <tableColumn id="1" xr3:uid="{62586A78-DF05-466C-AFD0-11DD5822E6D7}" uniqueName="1" name="campaign" queryTableFieldId="1" dataDxfId="5"/>
    <tableColumn id="2" xr3:uid="{586C8512-949A-4B4A-9DA9-56D60F80DEC2}" uniqueName="2" name="mean_roas" queryTableFieldId="2"/>
    <tableColumn id="3" xr3:uid="{EA16F5DC-040C-4CA1-8320-A047B53759F2}" uniqueName="3" name="median_roas" queryTableFieldId="3"/>
    <tableColumn id="4" xr3:uid="{013A7364-5DF9-4E0D-B141-9C1EE34B9190}" uniqueName="4" name="std_roas" queryTableFieldId="4"/>
    <tableColumn id="5" xr3:uid="{874C0EEF-DCB8-49BC-A6EB-FF54239881F0}" uniqueName="5" name="n" queryTableFieldId="5"/>
    <tableColumn id="6" xr3:uid="{88BA9181-122B-49F1-BFAD-AF6AFCCEC367}" uniqueName="6" name="tier" queryTableFieldId="6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63C482-E5A0-48E5-A7B4-AEFC866E16CE}" name="anova_results" displayName="anova_results" ref="A1:E2" tableType="queryTable" totalsRowShown="0">
  <autoFilter ref="A1:E2" xr:uid="{8963C482-E5A0-48E5-A7B4-AEFC866E16CE}"/>
  <tableColumns count="5">
    <tableColumn id="1" xr3:uid="{8089A8DB-0FBC-459D-802E-CAE71DA5245A}" uniqueName="1" name="test" queryTableFieldId="1" dataDxfId="3"/>
    <tableColumn id="2" xr3:uid="{A0791395-E400-4544-A84F-88B5DA8DA390}" uniqueName="2" name="f_statistic" queryTableFieldId="2"/>
    <tableColumn id="3" xr3:uid="{FE305F9E-E04E-4A39-8BAB-7A5063767AE3}" uniqueName="3" name="p_value" queryTableFieldId="3"/>
    <tableColumn id="4" xr3:uid="{0AC6A711-BC4A-4738-A78E-CB297247B3DF}" uniqueName="4" name="eta_squared" queryTableFieldId="4"/>
    <tableColumn id="5" xr3:uid="{1C653DF6-CB97-410E-AE4C-D8352B71BF44}" uniqueName="5" name="interpretation" queryTableFieldId="5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E3E001-C3D2-4A15-B42A-EB4F26F9E441}" name="tukey_results" displayName="tukey_results" ref="A1:H56" tableType="queryTable" totalsRowShown="0">
  <autoFilter ref="A1:H56" xr:uid="{DCE3E001-C3D2-4A15-B42A-EB4F26F9E441}"/>
  <tableColumns count="8">
    <tableColumn id="1" xr3:uid="{AA62F079-AC41-4DCC-9B1A-507B1B25AA7B}" uniqueName="1" name="group1" queryTableFieldId="1" dataDxfId="1"/>
    <tableColumn id="2" xr3:uid="{7360642D-220C-461C-8A5E-4061482D7D40}" uniqueName="2" name="group2" queryTableFieldId="2" dataDxfId="0"/>
    <tableColumn id="3" xr3:uid="{3DF62931-6BE0-4DAC-8514-67884CABF77C}" uniqueName="3" name="meandiff" queryTableFieldId="3"/>
    <tableColumn id="4" xr3:uid="{996FFC7B-B8E1-455A-BF7D-483A89FC7761}" uniqueName="4" name="p-adj" queryTableFieldId="4"/>
    <tableColumn id="5" xr3:uid="{B7D15426-FC61-4B2A-9415-8312DD157618}" uniqueName="5" name="lower" queryTableFieldId="5"/>
    <tableColumn id="6" xr3:uid="{45DB1B9C-46DB-4543-89B9-F0F972E450DC}" uniqueName="6" name="upper" queryTableFieldId="6"/>
    <tableColumn id="7" xr3:uid="{08C4F39E-B0F3-421E-97DA-196C1E31B23D}" uniqueName="7" name="reject" queryTableFieldId="7"/>
    <tableColumn id="8" xr3:uid="{65552F35-766A-44D9-A617-C86492B121B6}" uniqueName="8" name="significan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D9ED56-4915-480B-BD15-6ECF33DD84CA}" name="Table5" displayName="Table5" ref="A8:D19" totalsRowShown="0">
  <autoFilter ref="A8:D19" xr:uid="{03D9ED56-4915-480B-BD15-6ECF33DD84CA}"/>
  <sortState xmlns:xlrd2="http://schemas.microsoft.com/office/spreadsheetml/2017/richdata2" ref="A9:D19">
    <sortCondition descending="1" ref="B8:B19"/>
  </sortState>
  <tableColumns count="4">
    <tableColumn id="1" xr3:uid="{91E962CD-559F-49DC-BFDC-95A19DE54A98}" name="Campaign"/>
    <tableColumn id="2" xr3:uid="{1EB83F35-DC6E-44BA-B523-BAC45EFA299F}" name="Mean Roas"/>
    <tableColumn id="3" xr3:uid="{F1E73851-560A-486E-8065-D3AAE02EBE65}" name="Tier"/>
    <tableColumn id="4" xr3:uid="{2ACC7FCA-A3BC-41BB-BD97-D75D14C048F6}" name="Recco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FFA1-AD10-46D7-954D-2D6682774A06}">
  <dimension ref="A1:F12"/>
  <sheetViews>
    <sheetView workbookViewId="0">
      <selection sqref="A1:F12"/>
    </sheetView>
  </sheetViews>
  <sheetFormatPr defaultRowHeight="15" x14ac:dyDescent="0.25"/>
  <cols>
    <col min="1" max="1" width="19.7109375" bestFit="1" customWidth="1"/>
    <col min="2" max="2" width="13.42578125" bestFit="1" customWidth="1"/>
    <col min="3" max="3" width="15.140625" bestFit="1" customWidth="1"/>
    <col min="4" max="4" width="12" bestFit="1" customWidth="1"/>
    <col min="5" max="5" width="4.85546875" bestFit="1" customWidth="1"/>
    <col min="6" max="6" width="17.85546875" bestFit="1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13</v>
      </c>
      <c r="B2">
        <v>4.068700436262823</v>
      </c>
      <c r="C2">
        <v>3.95433218312867</v>
      </c>
      <c r="D2">
        <v>1.0144136053271</v>
      </c>
      <c r="E2">
        <v>28</v>
      </c>
      <c r="F2" t="s">
        <v>14</v>
      </c>
    </row>
    <row r="3" spans="1:6" x14ac:dyDescent="0.25">
      <c r="A3" t="s">
        <v>15</v>
      </c>
      <c r="B3">
        <v>2.4502626346258052</v>
      </c>
      <c r="C3">
        <v>2.114788895706242</v>
      </c>
      <c r="D3">
        <v>1.456361902203523</v>
      </c>
      <c r="E3">
        <v>28</v>
      </c>
      <c r="F3" t="s">
        <v>16</v>
      </c>
    </row>
    <row r="4" spans="1:6" x14ac:dyDescent="0.25">
      <c r="A4" t="s">
        <v>17</v>
      </c>
      <c r="B4">
        <v>1.7086533327481079</v>
      </c>
      <c r="C4">
        <v>1.805375402567692</v>
      </c>
      <c r="D4">
        <v>0.70380118492875332</v>
      </c>
      <c r="E4">
        <v>28</v>
      </c>
      <c r="F4" t="s">
        <v>16</v>
      </c>
    </row>
    <row r="5" spans="1:6" x14ac:dyDescent="0.25">
      <c r="A5" t="s">
        <v>18</v>
      </c>
      <c r="B5">
        <v>1.6459207759482199</v>
      </c>
      <c r="C5">
        <v>1.771870220200243</v>
      </c>
      <c r="D5">
        <v>0.71518200121517705</v>
      </c>
      <c r="E5">
        <v>28</v>
      </c>
      <c r="F5" t="s">
        <v>16</v>
      </c>
    </row>
    <row r="6" spans="1:6" x14ac:dyDescent="0.25">
      <c r="A6" t="s">
        <v>19</v>
      </c>
      <c r="B6">
        <v>1.331378100191825</v>
      </c>
      <c r="C6">
        <v>1.309828765919691</v>
      </c>
      <c r="D6">
        <v>0.18605360061983869</v>
      </c>
      <c r="E6">
        <v>28</v>
      </c>
      <c r="F6" t="s">
        <v>20</v>
      </c>
    </row>
    <row r="7" spans="1:6" x14ac:dyDescent="0.25">
      <c r="A7" t="s">
        <v>21</v>
      </c>
      <c r="B7">
        <v>1.2422605435443319</v>
      </c>
      <c r="C7">
        <v>1.231464002010715</v>
      </c>
      <c r="D7">
        <v>0.33086041852696058</v>
      </c>
      <c r="E7">
        <v>28</v>
      </c>
      <c r="F7" t="s">
        <v>20</v>
      </c>
    </row>
    <row r="8" spans="1:6" x14ac:dyDescent="0.25">
      <c r="A8" t="s">
        <v>22</v>
      </c>
      <c r="B8">
        <v>0.93362410142584307</v>
      </c>
      <c r="C8">
        <v>0.89442120308691764</v>
      </c>
      <c r="D8">
        <v>0.121444618955795</v>
      </c>
      <c r="E8">
        <v>28</v>
      </c>
      <c r="F8" t="s">
        <v>20</v>
      </c>
    </row>
    <row r="9" spans="1:6" x14ac:dyDescent="0.25">
      <c r="A9" t="s">
        <v>23</v>
      </c>
      <c r="B9">
        <v>0.70915232790655669</v>
      </c>
      <c r="C9">
        <v>0.75040734788478702</v>
      </c>
      <c r="D9">
        <v>0.22086177321763531</v>
      </c>
      <c r="E9">
        <v>28</v>
      </c>
      <c r="F9" t="s">
        <v>24</v>
      </c>
    </row>
    <row r="10" spans="1:6" x14ac:dyDescent="0.25">
      <c r="A10" t="s">
        <v>25</v>
      </c>
      <c r="B10">
        <v>0.67417410929151023</v>
      </c>
      <c r="C10">
        <v>0.73440303180759781</v>
      </c>
      <c r="D10">
        <v>0.25391714443112601</v>
      </c>
      <c r="E10">
        <v>28</v>
      </c>
      <c r="F10" t="s">
        <v>24</v>
      </c>
    </row>
    <row r="11" spans="1:6" x14ac:dyDescent="0.25">
      <c r="A11" t="s">
        <v>26</v>
      </c>
      <c r="B11">
        <v>0.60049886572300371</v>
      </c>
      <c r="C11">
        <v>0.59910872909731983</v>
      </c>
      <c r="D11">
        <v>0.27444869663830951</v>
      </c>
      <c r="E11">
        <v>28</v>
      </c>
      <c r="F11" t="s">
        <v>24</v>
      </c>
    </row>
    <row r="12" spans="1:6" x14ac:dyDescent="0.25">
      <c r="A12" t="s">
        <v>27</v>
      </c>
      <c r="B12">
        <v>0.119101853921436</v>
      </c>
      <c r="C12">
        <v>0.1123037874286702</v>
      </c>
      <c r="D12">
        <v>5.8626314425951072E-2</v>
      </c>
      <c r="E12">
        <v>28</v>
      </c>
      <c r="F1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8805-1B47-4808-A642-F0BA8340390C}">
  <dimension ref="A1:E2"/>
  <sheetViews>
    <sheetView workbookViewId="0">
      <selection sqref="A1:E2"/>
    </sheetView>
  </sheetViews>
  <sheetFormatPr defaultRowHeight="15" x14ac:dyDescent="0.25"/>
  <cols>
    <col min="1" max="1" width="13.28515625" bestFit="1" customWidth="1"/>
    <col min="2" max="2" width="12.5703125" bestFit="1" customWidth="1"/>
    <col min="3" max="3" width="12" bestFit="1" customWidth="1"/>
    <col min="4" max="4" width="14.7109375" bestFit="1" customWidth="1"/>
    <col min="5" max="5" width="16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262.58554120214961</v>
      </c>
      <c r="C2">
        <v>6.0897578937230921E-74</v>
      </c>
      <c r="D2">
        <v>177.08682553643661</v>
      </c>
      <c r="E2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EE6A-AB96-4903-B3AE-12E3026417C5}">
  <dimension ref="A1:H56"/>
  <sheetViews>
    <sheetView workbookViewId="0"/>
  </sheetViews>
  <sheetFormatPr defaultRowHeight="15" x14ac:dyDescent="0.25"/>
  <cols>
    <col min="1" max="2" width="19.7109375" bestFit="1" customWidth="1"/>
    <col min="3" max="3" width="11.85546875" bestFit="1" customWidth="1"/>
    <col min="4" max="4" width="8.28515625" bestFit="1" customWidth="1"/>
    <col min="5" max="5" width="8.7109375" bestFit="1" customWidth="1"/>
    <col min="6" max="7" width="9" bestFit="1" customWidth="1"/>
    <col min="8" max="8" width="13.140625" bestFit="1" customWidth="1"/>
  </cols>
  <sheetData>
    <row r="1" spans="1: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5">
      <c r="A2" t="s">
        <v>21</v>
      </c>
      <c r="B2" t="s">
        <v>27</v>
      </c>
      <c r="C2">
        <v>-1.1232</v>
      </c>
      <c r="D2">
        <v>0</v>
      </c>
      <c r="E2">
        <v>-1.6781999999999999</v>
      </c>
      <c r="F2">
        <v>-0.56810000000000005</v>
      </c>
      <c r="G2" t="b">
        <v>1</v>
      </c>
      <c r="H2" t="b">
        <v>1</v>
      </c>
    </row>
    <row r="3" spans="1:8" x14ac:dyDescent="0.25">
      <c r="A3" t="s">
        <v>21</v>
      </c>
      <c r="B3" t="s">
        <v>15</v>
      </c>
      <c r="C3">
        <v>1.208</v>
      </c>
      <c r="D3">
        <v>0</v>
      </c>
      <c r="E3">
        <v>0.65300000000000002</v>
      </c>
      <c r="F3">
        <v>1.7629999999999999</v>
      </c>
      <c r="G3" t="b">
        <v>1</v>
      </c>
      <c r="H3" t="b">
        <v>1</v>
      </c>
    </row>
    <row r="4" spans="1:8" x14ac:dyDescent="0.25">
      <c r="A4" t="s">
        <v>21</v>
      </c>
      <c r="B4" t="s">
        <v>22</v>
      </c>
      <c r="C4">
        <v>-0.30859999999999999</v>
      </c>
      <c r="D4">
        <v>0.77710000000000001</v>
      </c>
      <c r="E4">
        <v>-0.86360000000000003</v>
      </c>
      <c r="F4">
        <v>0.24640000000000001</v>
      </c>
      <c r="G4" t="b">
        <v>0</v>
      </c>
      <c r="H4" t="b">
        <v>0</v>
      </c>
    </row>
    <row r="5" spans="1:8" x14ac:dyDescent="0.25">
      <c r="A5" t="s">
        <v>21</v>
      </c>
      <c r="B5" t="s">
        <v>23</v>
      </c>
      <c r="C5">
        <v>-0.53310000000000002</v>
      </c>
      <c r="D5">
        <v>7.2300000000000003E-2</v>
      </c>
      <c r="E5">
        <v>-1.0881000000000001</v>
      </c>
      <c r="F5">
        <v>2.1899999999999999E-2</v>
      </c>
      <c r="G5" t="b">
        <v>0</v>
      </c>
      <c r="H5" t="b">
        <v>0</v>
      </c>
    </row>
    <row r="6" spans="1:8" x14ac:dyDescent="0.25">
      <c r="A6" t="s">
        <v>21</v>
      </c>
      <c r="B6" t="s">
        <v>17</v>
      </c>
      <c r="C6">
        <v>0.46639999999999998</v>
      </c>
      <c r="D6">
        <v>0.19339999999999999</v>
      </c>
      <c r="E6">
        <v>-8.8599999999999998E-2</v>
      </c>
      <c r="F6">
        <v>1.0214000000000001</v>
      </c>
      <c r="G6" t="b">
        <v>0</v>
      </c>
      <c r="H6" t="b">
        <v>0</v>
      </c>
    </row>
    <row r="7" spans="1:8" x14ac:dyDescent="0.25">
      <c r="A7" t="s">
        <v>21</v>
      </c>
      <c r="B7" t="s">
        <v>25</v>
      </c>
      <c r="C7">
        <v>-0.56810000000000005</v>
      </c>
      <c r="D7">
        <v>3.9699999999999999E-2</v>
      </c>
      <c r="E7">
        <v>-1.1231</v>
      </c>
      <c r="F7">
        <v>-1.3100000000000001E-2</v>
      </c>
      <c r="G7" t="b">
        <v>1</v>
      </c>
      <c r="H7" t="b">
        <v>1</v>
      </c>
    </row>
    <row r="8" spans="1:8" x14ac:dyDescent="0.25">
      <c r="A8" t="s">
        <v>21</v>
      </c>
      <c r="B8" t="s">
        <v>19</v>
      </c>
      <c r="C8">
        <v>8.9099999999999999E-2</v>
      </c>
      <c r="D8">
        <v>1</v>
      </c>
      <c r="E8">
        <v>-0.46589999999999998</v>
      </c>
      <c r="F8">
        <v>0.64410000000000001</v>
      </c>
      <c r="G8" t="b">
        <v>0</v>
      </c>
      <c r="H8" t="b">
        <v>0</v>
      </c>
    </row>
    <row r="9" spans="1:8" x14ac:dyDescent="0.25">
      <c r="A9" t="s">
        <v>21</v>
      </c>
      <c r="B9" t="s">
        <v>18</v>
      </c>
      <c r="C9">
        <v>0.4037</v>
      </c>
      <c r="D9">
        <v>0.3967</v>
      </c>
      <c r="E9">
        <v>-0.15140000000000001</v>
      </c>
      <c r="F9">
        <v>0.9587</v>
      </c>
      <c r="G9" t="b">
        <v>0</v>
      </c>
      <c r="H9" t="b">
        <v>0</v>
      </c>
    </row>
    <row r="10" spans="1:8" x14ac:dyDescent="0.25">
      <c r="A10" t="s">
        <v>21</v>
      </c>
      <c r="B10" t="s">
        <v>26</v>
      </c>
      <c r="C10">
        <v>-0.64180000000000004</v>
      </c>
      <c r="D10">
        <v>9.4999999999999998E-3</v>
      </c>
      <c r="E10">
        <v>-1.1968000000000001</v>
      </c>
      <c r="F10">
        <v>-8.6800000000000002E-2</v>
      </c>
      <c r="G10" t="b">
        <v>1</v>
      </c>
      <c r="H10" t="b">
        <v>1</v>
      </c>
    </row>
    <row r="11" spans="1:8" x14ac:dyDescent="0.25">
      <c r="A11" t="s">
        <v>21</v>
      </c>
      <c r="B11" t="s">
        <v>13</v>
      </c>
      <c r="C11">
        <v>2.8264</v>
      </c>
      <c r="D11">
        <v>0</v>
      </c>
      <c r="E11">
        <v>2.2713999999999999</v>
      </c>
      <c r="F11">
        <v>3.3815</v>
      </c>
      <c r="G11" t="b">
        <v>1</v>
      </c>
      <c r="H11" t="b">
        <v>1</v>
      </c>
    </row>
    <row r="12" spans="1:8" x14ac:dyDescent="0.25">
      <c r="A12" t="s">
        <v>27</v>
      </c>
      <c r="B12" t="s">
        <v>15</v>
      </c>
      <c r="C12">
        <v>2.3311999999999999</v>
      </c>
      <c r="D12">
        <v>0</v>
      </c>
      <c r="E12">
        <v>1.7761</v>
      </c>
      <c r="F12">
        <v>2.8862000000000001</v>
      </c>
      <c r="G12" t="b">
        <v>1</v>
      </c>
      <c r="H12" t="b">
        <v>1</v>
      </c>
    </row>
    <row r="13" spans="1:8" x14ac:dyDescent="0.25">
      <c r="A13" t="s">
        <v>27</v>
      </c>
      <c r="B13" t="s">
        <v>22</v>
      </c>
      <c r="C13">
        <v>0.8145</v>
      </c>
      <c r="D13">
        <v>2.0000000000000001E-4</v>
      </c>
      <c r="E13">
        <v>0.25950000000000001</v>
      </c>
      <c r="F13">
        <v>1.3694999999999999</v>
      </c>
      <c r="G13" t="b">
        <v>1</v>
      </c>
      <c r="H13" t="b">
        <v>1</v>
      </c>
    </row>
    <row r="14" spans="1:8" x14ac:dyDescent="0.25">
      <c r="A14" t="s">
        <v>27</v>
      </c>
      <c r="B14" t="s">
        <v>23</v>
      </c>
      <c r="C14">
        <v>0.59009999999999996</v>
      </c>
      <c r="D14">
        <v>2.6599999999999999E-2</v>
      </c>
      <c r="E14">
        <v>3.5000000000000003E-2</v>
      </c>
      <c r="F14">
        <v>1.1451</v>
      </c>
      <c r="G14" t="b">
        <v>1</v>
      </c>
      <c r="H14" t="b">
        <v>1</v>
      </c>
    </row>
    <row r="15" spans="1:8" x14ac:dyDescent="0.25">
      <c r="A15" t="s">
        <v>27</v>
      </c>
      <c r="B15" t="s">
        <v>17</v>
      </c>
      <c r="C15">
        <v>1.5895999999999999</v>
      </c>
      <c r="D15">
        <v>0</v>
      </c>
      <c r="E15">
        <v>1.0345</v>
      </c>
      <c r="F15">
        <v>2.1446000000000001</v>
      </c>
      <c r="G15" t="b">
        <v>1</v>
      </c>
      <c r="H15" t="b">
        <v>1</v>
      </c>
    </row>
    <row r="16" spans="1:8" x14ac:dyDescent="0.25">
      <c r="A16" t="s">
        <v>27</v>
      </c>
      <c r="B16" t="s">
        <v>25</v>
      </c>
      <c r="C16">
        <v>0.55510000000000004</v>
      </c>
      <c r="D16">
        <v>4.99E-2</v>
      </c>
      <c r="E16">
        <v>1E-4</v>
      </c>
      <c r="F16">
        <v>1.1101000000000001</v>
      </c>
      <c r="G16" t="b">
        <v>1</v>
      </c>
      <c r="H16" t="b">
        <v>1</v>
      </c>
    </row>
    <row r="17" spans="1:8" x14ac:dyDescent="0.25">
      <c r="A17" t="s">
        <v>27</v>
      </c>
      <c r="B17" t="s">
        <v>19</v>
      </c>
      <c r="C17">
        <v>1.2122999999999999</v>
      </c>
      <c r="D17">
        <v>0</v>
      </c>
      <c r="E17">
        <v>0.6573</v>
      </c>
      <c r="F17">
        <v>1.7673000000000001</v>
      </c>
      <c r="G17" t="b">
        <v>1</v>
      </c>
      <c r="H17" t="b">
        <v>1</v>
      </c>
    </row>
    <row r="18" spans="1:8" x14ac:dyDescent="0.25">
      <c r="A18" t="s">
        <v>27</v>
      </c>
      <c r="B18" t="s">
        <v>18</v>
      </c>
      <c r="C18">
        <v>1.5267999999999999</v>
      </c>
      <c r="D18">
        <v>0</v>
      </c>
      <c r="E18">
        <v>0.9718</v>
      </c>
      <c r="F18">
        <v>2.0817999999999999</v>
      </c>
      <c r="G18" t="b">
        <v>1</v>
      </c>
      <c r="H18" t="b">
        <v>1</v>
      </c>
    </row>
    <row r="19" spans="1:8" x14ac:dyDescent="0.25">
      <c r="A19" t="s">
        <v>27</v>
      </c>
      <c r="B19" t="s">
        <v>26</v>
      </c>
      <c r="C19">
        <v>0.48139999999999999</v>
      </c>
      <c r="D19">
        <v>0.15790000000000001</v>
      </c>
      <c r="E19">
        <v>-7.3599999999999999E-2</v>
      </c>
      <c r="F19">
        <v>1.0364</v>
      </c>
      <c r="G19" t="b">
        <v>0</v>
      </c>
      <c r="H19" t="b">
        <v>0</v>
      </c>
    </row>
    <row r="20" spans="1:8" x14ac:dyDescent="0.25">
      <c r="A20" t="s">
        <v>27</v>
      </c>
      <c r="B20" t="s">
        <v>13</v>
      </c>
      <c r="C20">
        <v>3.9496000000000002</v>
      </c>
      <c r="D20">
        <v>0</v>
      </c>
      <c r="E20">
        <v>3.3946000000000001</v>
      </c>
      <c r="F20">
        <v>4.5045999999999999</v>
      </c>
      <c r="G20" t="b">
        <v>1</v>
      </c>
      <c r="H20" t="b">
        <v>1</v>
      </c>
    </row>
    <row r="21" spans="1:8" x14ac:dyDescent="0.25">
      <c r="A21" t="s">
        <v>15</v>
      </c>
      <c r="B21" t="s">
        <v>22</v>
      </c>
      <c r="C21">
        <v>-1.5165999999999999</v>
      </c>
      <c r="D21">
        <v>0</v>
      </c>
      <c r="E21">
        <v>-2.0716000000000001</v>
      </c>
      <c r="F21">
        <v>-0.96160000000000001</v>
      </c>
      <c r="G21" t="b">
        <v>1</v>
      </c>
      <c r="H21" t="b">
        <v>1</v>
      </c>
    </row>
    <row r="22" spans="1:8" x14ac:dyDescent="0.25">
      <c r="A22" t="s">
        <v>15</v>
      </c>
      <c r="B22" t="s">
        <v>23</v>
      </c>
      <c r="C22">
        <v>-1.7411000000000001</v>
      </c>
      <c r="D22">
        <v>0</v>
      </c>
      <c r="E22">
        <v>-2.2961</v>
      </c>
      <c r="F22">
        <v>-1.1860999999999999</v>
      </c>
      <c r="G22" t="b">
        <v>1</v>
      </c>
      <c r="H22" t="b">
        <v>1</v>
      </c>
    </row>
    <row r="23" spans="1:8" x14ac:dyDescent="0.25">
      <c r="A23" t="s">
        <v>15</v>
      </c>
      <c r="B23" t="s">
        <v>17</v>
      </c>
      <c r="C23">
        <v>-0.74160000000000004</v>
      </c>
      <c r="D23">
        <v>1E-3</v>
      </c>
      <c r="E23">
        <v>-1.2966</v>
      </c>
      <c r="F23">
        <v>-0.18659999999999999</v>
      </c>
      <c r="G23" t="b">
        <v>1</v>
      </c>
      <c r="H23" t="b">
        <v>1</v>
      </c>
    </row>
    <row r="24" spans="1:8" x14ac:dyDescent="0.25">
      <c r="A24" t="s">
        <v>15</v>
      </c>
      <c r="B24" t="s">
        <v>25</v>
      </c>
      <c r="C24">
        <v>-1.7761</v>
      </c>
      <c r="D24">
        <v>0</v>
      </c>
      <c r="E24">
        <v>-2.3311000000000002</v>
      </c>
      <c r="F24">
        <v>-1.2211000000000001</v>
      </c>
      <c r="G24" t="b">
        <v>1</v>
      </c>
      <c r="H24" t="b">
        <v>1</v>
      </c>
    </row>
    <row r="25" spans="1:8" x14ac:dyDescent="0.25">
      <c r="A25" t="s">
        <v>15</v>
      </c>
      <c r="B25" t="s">
        <v>19</v>
      </c>
      <c r="C25">
        <v>-1.1189</v>
      </c>
      <c r="D25">
        <v>0</v>
      </c>
      <c r="E25">
        <v>-1.6738999999999999</v>
      </c>
      <c r="F25">
        <v>-0.56389999999999996</v>
      </c>
      <c r="G25" t="b">
        <v>1</v>
      </c>
      <c r="H25" t="b">
        <v>1</v>
      </c>
    </row>
    <row r="26" spans="1:8" x14ac:dyDescent="0.25">
      <c r="A26" t="s">
        <v>15</v>
      </c>
      <c r="B26" t="s">
        <v>18</v>
      </c>
      <c r="C26">
        <v>-0.80430000000000001</v>
      </c>
      <c r="D26">
        <v>2.0000000000000001E-4</v>
      </c>
      <c r="E26">
        <v>-1.3593999999999999</v>
      </c>
      <c r="F26">
        <v>-0.24929999999999999</v>
      </c>
      <c r="G26" t="b">
        <v>1</v>
      </c>
      <c r="H26" t="b">
        <v>1</v>
      </c>
    </row>
    <row r="27" spans="1:8" x14ac:dyDescent="0.25">
      <c r="A27" t="s">
        <v>15</v>
      </c>
      <c r="B27" t="s">
        <v>26</v>
      </c>
      <c r="C27">
        <v>-1.8498000000000001</v>
      </c>
      <c r="D27">
        <v>0</v>
      </c>
      <c r="E27">
        <v>-2.4047999999999998</v>
      </c>
      <c r="F27">
        <v>-1.2948</v>
      </c>
      <c r="G27" t="b">
        <v>1</v>
      </c>
      <c r="H27" t="b">
        <v>1</v>
      </c>
    </row>
    <row r="28" spans="1:8" x14ac:dyDescent="0.25">
      <c r="A28" t="s">
        <v>15</v>
      </c>
      <c r="B28" t="s">
        <v>13</v>
      </c>
      <c r="C28">
        <v>1.6184000000000001</v>
      </c>
      <c r="D28">
        <v>0</v>
      </c>
      <c r="E28">
        <v>1.0633999999999999</v>
      </c>
      <c r="F28">
        <v>2.1734</v>
      </c>
      <c r="G28" t="b">
        <v>1</v>
      </c>
      <c r="H28" t="b">
        <v>1</v>
      </c>
    </row>
    <row r="29" spans="1:8" x14ac:dyDescent="0.25">
      <c r="A29" t="s">
        <v>22</v>
      </c>
      <c r="B29" t="s">
        <v>23</v>
      </c>
      <c r="C29">
        <v>-0.22450000000000001</v>
      </c>
      <c r="D29">
        <v>0.96619999999999995</v>
      </c>
      <c r="E29">
        <v>-0.77949999999999997</v>
      </c>
      <c r="F29">
        <v>0.33050000000000002</v>
      </c>
      <c r="G29" t="b">
        <v>0</v>
      </c>
      <c r="H29" t="b">
        <v>0</v>
      </c>
    </row>
    <row r="30" spans="1:8" x14ac:dyDescent="0.25">
      <c r="A30" t="s">
        <v>22</v>
      </c>
      <c r="B30" t="s">
        <v>17</v>
      </c>
      <c r="C30">
        <v>0.77500000000000002</v>
      </c>
      <c r="D30">
        <v>4.0000000000000002E-4</v>
      </c>
      <c r="E30">
        <v>0.22</v>
      </c>
      <c r="F30">
        <v>1.33</v>
      </c>
      <c r="G30" t="b">
        <v>1</v>
      </c>
      <c r="H30" t="b">
        <v>1</v>
      </c>
    </row>
    <row r="31" spans="1:8" x14ac:dyDescent="0.25">
      <c r="A31" t="s">
        <v>22</v>
      </c>
      <c r="B31" t="s">
        <v>25</v>
      </c>
      <c r="C31">
        <v>-0.25940000000000002</v>
      </c>
      <c r="D31">
        <v>0.91339999999999999</v>
      </c>
      <c r="E31">
        <v>-0.8145</v>
      </c>
      <c r="F31">
        <v>0.29559999999999997</v>
      </c>
      <c r="G31" t="b">
        <v>0</v>
      </c>
      <c r="H31" t="b">
        <v>0</v>
      </c>
    </row>
    <row r="32" spans="1:8" x14ac:dyDescent="0.25">
      <c r="A32" t="s">
        <v>22</v>
      </c>
      <c r="B32" t="s">
        <v>19</v>
      </c>
      <c r="C32">
        <v>0.39779999999999999</v>
      </c>
      <c r="D32">
        <v>0.41970000000000002</v>
      </c>
      <c r="E32">
        <v>-0.1573</v>
      </c>
      <c r="F32">
        <v>0.95279999999999998</v>
      </c>
      <c r="G32" t="b">
        <v>0</v>
      </c>
      <c r="H32" t="b">
        <v>0</v>
      </c>
    </row>
    <row r="33" spans="1:8" x14ac:dyDescent="0.25">
      <c r="A33" t="s">
        <v>22</v>
      </c>
      <c r="B33" t="s">
        <v>18</v>
      </c>
      <c r="C33">
        <v>0.71230000000000004</v>
      </c>
      <c r="D33">
        <v>2E-3</v>
      </c>
      <c r="E33">
        <v>0.1573</v>
      </c>
      <c r="F33">
        <v>1.2673000000000001</v>
      </c>
      <c r="G33" t="b">
        <v>1</v>
      </c>
      <c r="H33" t="b">
        <v>1</v>
      </c>
    </row>
    <row r="34" spans="1:8" x14ac:dyDescent="0.25">
      <c r="A34" t="s">
        <v>22</v>
      </c>
      <c r="B34" t="s">
        <v>26</v>
      </c>
      <c r="C34">
        <v>-0.33310000000000001</v>
      </c>
      <c r="D34">
        <v>0.6855</v>
      </c>
      <c r="E34">
        <v>-0.8881</v>
      </c>
      <c r="F34">
        <v>0.22189999999999999</v>
      </c>
      <c r="G34" t="b">
        <v>0</v>
      </c>
      <c r="H34" t="b">
        <v>0</v>
      </c>
    </row>
    <row r="35" spans="1:8" x14ac:dyDescent="0.25">
      <c r="A35" t="s">
        <v>22</v>
      </c>
      <c r="B35" t="s">
        <v>13</v>
      </c>
      <c r="C35">
        <v>3.1351</v>
      </c>
      <c r="D35">
        <v>0</v>
      </c>
      <c r="E35">
        <v>2.5800999999999998</v>
      </c>
      <c r="F35">
        <v>3.6901000000000002</v>
      </c>
      <c r="G35" t="b">
        <v>1</v>
      </c>
      <c r="H35" t="b">
        <v>1</v>
      </c>
    </row>
    <row r="36" spans="1:8" x14ac:dyDescent="0.25">
      <c r="A36" t="s">
        <v>23</v>
      </c>
      <c r="B36" t="s">
        <v>17</v>
      </c>
      <c r="C36">
        <v>0.99950000000000006</v>
      </c>
      <c r="D36">
        <v>0</v>
      </c>
      <c r="E36">
        <v>0.44450000000000001</v>
      </c>
      <c r="F36">
        <v>1.5545</v>
      </c>
      <c r="G36" t="b">
        <v>1</v>
      </c>
      <c r="H36" t="b">
        <v>1</v>
      </c>
    </row>
    <row r="37" spans="1:8" x14ac:dyDescent="0.25">
      <c r="A37" t="s">
        <v>23</v>
      </c>
      <c r="B37" t="s">
        <v>25</v>
      </c>
      <c r="C37">
        <v>-3.5000000000000003E-2</v>
      </c>
      <c r="D37">
        <v>1</v>
      </c>
      <c r="E37">
        <v>-0.59</v>
      </c>
      <c r="F37">
        <v>0.52</v>
      </c>
      <c r="G37" t="b">
        <v>0</v>
      </c>
      <c r="H37" t="b">
        <v>0</v>
      </c>
    </row>
    <row r="38" spans="1:8" x14ac:dyDescent="0.25">
      <c r="A38" t="s">
        <v>23</v>
      </c>
      <c r="B38" t="s">
        <v>19</v>
      </c>
      <c r="C38">
        <v>0.62219999999999998</v>
      </c>
      <c r="D38">
        <v>1.4200000000000001E-2</v>
      </c>
      <c r="E38">
        <v>6.7199999999999996E-2</v>
      </c>
      <c r="F38">
        <v>1.1772</v>
      </c>
      <c r="G38" t="b">
        <v>1</v>
      </c>
      <c r="H38" t="b">
        <v>1</v>
      </c>
    </row>
    <row r="39" spans="1:8" x14ac:dyDescent="0.25">
      <c r="A39" t="s">
        <v>23</v>
      </c>
      <c r="B39" t="s">
        <v>18</v>
      </c>
      <c r="C39">
        <v>0.93679999999999997</v>
      </c>
      <c r="D39">
        <v>0</v>
      </c>
      <c r="E39">
        <v>0.38179999999999997</v>
      </c>
      <c r="F39">
        <v>1.4918</v>
      </c>
      <c r="G39" t="b">
        <v>1</v>
      </c>
      <c r="H39" t="b">
        <v>1</v>
      </c>
    </row>
    <row r="40" spans="1:8" x14ac:dyDescent="0.25">
      <c r="A40" t="s">
        <v>23</v>
      </c>
      <c r="B40" t="s">
        <v>26</v>
      </c>
      <c r="C40">
        <v>-0.1087</v>
      </c>
      <c r="D40">
        <v>0.99990000000000001</v>
      </c>
      <c r="E40">
        <v>-0.66369999999999996</v>
      </c>
      <c r="F40">
        <v>0.44640000000000002</v>
      </c>
      <c r="G40" t="b">
        <v>0</v>
      </c>
      <c r="H40" t="b">
        <v>0</v>
      </c>
    </row>
    <row r="41" spans="1:8" x14ac:dyDescent="0.25">
      <c r="A41" t="s">
        <v>23</v>
      </c>
      <c r="B41" t="s">
        <v>13</v>
      </c>
      <c r="C41">
        <v>3.3595000000000002</v>
      </c>
      <c r="D41">
        <v>0</v>
      </c>
      <c r="E41">
        <v>2.8045</v>
      </c>
      <c r="F41">
        <v>3.9146000000000001</v>
      </c>
      <c r="G41" t="b">
        <v>1</v>
      </c>
      <c r="H41" t="b">
        <v>1</v>
      </c>
    </row>
    <row r="42" spans="1:8" x14ac:dyDescent="0.25">
      <c r="A42" t="s">
        <v>17</v>
      </c>
      <c r="B42" t="s">
        <v>25</v>
      </c>
      <c r="C42">
        <v>-1.0345</v>
      </c>
      <c r="D42">
        <v>0</v>
      </c>
      <c r="E42">
        <v>-1.5894999999999999</v>
      </c>
      <c r="F42">
        <v>-0.47949999999999998</v>
      </c>
      <c r="G42" t="b">
        <v>1</v>
      </c>
      <c r="H42" t="b">
        <v>1</v>
      </c>
    </row>
    <row r="43" spans="1:8" x14ac:dyDescent="0.25">
      <c r="A43" t="s">
        <v>17</v>
      </c>
      <c r="B43" t="s">
        <v>19</v>
      </c>
      <c r="C43">
        <v>-0.37730000000000002</v>
      </c>
      <c r="D43">
        <v>0.503</v>
      </c>
      <c r="E43">
        <v>-0.93230000000000002</v>
      </c>
      <c r="F43">
        <v>0.1777</v>
      </c>
      <c r="G43" t="b">
        <v>0</v>
      </c>
      <c r="H43" t="b">
        <v>0</v>
      </c>
    </row>
    <row r="44" spans="1:8" x14ac:dyDescent="0.25">
      <c r="A44" t="s">
        <v>17</v>
      </c>
      <c r="B44" t="s">
        <v>18</v>
      </c>
      <c r="C44">
        <v>-6.2700000000000006E-2</v>
      </c>
      <c r="D44">
        <v>1</v>
      </c>
      <c r="E44">
        <v>-0.61770000000000003</v>
      </c>
      <c r="F44">
        <v>0.49230000000000002</v>
      </c>
      <c r="G44" t="b">
        <v>0</v>
      </c>
      <c r="H44" t="b">
        <v>0</v>
      </c>
    </row>
    <row r="45" spans="1:8" x14ac:dyDescent="0.25">
      <c r="A45" t="s">
        <v>17</v>
      </c>
      <c r="B45" t="s">
        <v>26</v>
      </c>
      <c r="C45">
        <v>-1.1082000000000001</v>
      </c>
      <c r="D45">
        <v>0</v>
      </c>
      <c r="E45">
        <v>-1.6632</v>
      </c>
      <c r="F45">
        <v>-0.55310000000000004</v>
      </c>
      <c r="G45" t="b">
        <v>1</v>
      </c>
      <c r="H45" t="b">
        <v>1</v>
      </c>
    </row>
    <row r="46" spans="1:8" x14ac:dyDescent="0.25">
      <c r="A46" t="s">
        <v>17</v>
      </c>
      <c r="B46" t="s">
        <v>13</v>
      </c>
      <c r="C46">
        <v>2.36</v>
      </c>
      <c r="D46">
        <v>0</v>
      </c>
      <c r="E46">
        <v>1.8049999999999999</v>
      </c>
      <c r="F46">
        <v>2.9150999999999998</v>
      </c>
      <c r="G46" t="b">
        <v>1</v>
      </c>
      <c r="H46" t="b">
        <v>1</v>
      </c>
    </row>
    <row r="47" spans="1:8" x14ac:dyDescent="0.25">
      <c r="A47" t="s">
        <v>25</v>
      </c>
      <c r="B47" t="s">
        <v>19</v>
      </c>
      <c r="C47">
        <v>0.65720000000000001</v>
      </c>
      <c r="D47">
        <v>6.8999999999999999E-3</v>
      </c>
      <c r="E47">
        <v>0.1022</v>
      </c>
      <c r="F47">
        <v>1.2121999999999999</v>
      </c>
      <c r="G47" t="b">
        <v>1</v>
      </c>
      <c r="H47" t="b">
        <v>1</v>
      </c>
    </row>
    <row r="48" spans="1:8" x14ac:dyDescent="0.25">
      <c r="A48" t="s">
        <v>25</v>
      </c>
      <c r="B48" t="s">
        <v>18</v>
      </c>
      <c r="C48">
        <v>0.97170000000000001</v>
      </c>
      <c r="D48">
        <v>0</v>
      </c>
      <c r="E48">
        <v>0.41670000000000001</v>
      </c>
      <c r="F48">
        <v>1.5267999999999999</v>
      </c>
      <c r="G48" t="b">
        <v>1</v>
      </c>
      <c r="H48" t="b">
        <v>1</v>
      </c>
    </row>
    <row r="49" spans="1:8" x14ac:dyDescent="0.25">
      <c r="A49" t="s">
        <v>25</v>
      </c>
      <c r="B49" t="s">
        <v>26</v>
      </c>
      <c r="C49">
        <v>-7.3700000000000002E-2</v>
      </c>
      <c r="D49">
        <v>1</v>
      </c>
      <c r="E49">
        <v>-0.62870000000000004</v>
      </c>
      <c r="F49">
        <v>0.48130000000000001</v>
      </c>
      <c r="G49" t="b">
        <v>0</v>
      </c>
      <c r="H49" t="b">
        <v>0</v>
      </c>
    </row>
    <row r="50" spans="1:8" x14ac:dyDescent="0.25">
      <c r="A50" t="s">
        <v>25</v>
      </c>
      <c r="B50" t="s">
        <v>13</v>
      </c>
      <c r="C50">
        <v>3.3944999999999999</v>
      </c>
      <c r="D50">
        <v>0</v>
      </c>
      <c r="E50">
        <v>2.8395000000000001</v>
      </c>
      <c r="F50">
        <v>3.9495</v>
      </c>
      <c r="G50" t="b">
        <v>1</v>
      </c>
      <c r="H50" t="b">
        <v>1</v>
      </c>
    </row>
    <row r="51" spans="1:8" x14ac:dyDescent="0.25">
      <c r="A51" t="s">
        <v>19</v>
      </c>
      <c r="B51" t="s">
        <v>18</v>
      </c>
      <c r="C51">
        <v>0.3145</v>
      </c>
      <c r="D51">
        <v>0.75609999999999999</v>
      </c>
      <c r="E51">
        <v>-0.24049999999999999</v>
      </c>
      <c r="F51">
        <v>0.86960000000000004</v>
      </c>
      <c r="G51" t="b">
        <v>0</v>
      </c>
      <c r="H51" t="b">
        <v>0</v>
      </c>
    </row>
    <row r="52" spans="1:8" x14ac:dyDescent="0.25">
      <c r="A52" t="s">
        <v>19</v>
      </c>
      <c r="B52" t="s">
        <v>26</v>
      </c>
      <c r="C52">
        <v>-0.73089999999999999</v>
      </c>
      <c r="D52">
        <v>1.2999999999999999E-3</v>
      </c>
      <c r="E52">
        <v>-1.2859</v>
      </c>
      <c r="F52">
        <v>-0.1759</v>
      </c>
      <c r="G52" t="b">
        <v>1</v>
      </c>
      <c r="H52" t="b">
        <v>1</v>
      </c>
    </row>
    <row r="53" spans="1:8" x14ac:dyDescent="0.25">
      <c r="A53" t="s">
        <v>19</v>
      </c>
      <c r="B53" t="s">
        <v>13</v>
      </c>
      <c r="C53">
        <v>2.7372999999999998</v>
      </c>
      <c r="D53">
        <v>0</v>
      </c>
      <c r="E53">
        <v>2.1823000000000001</v>
      </c>
      <c r="F53">
        <v>3.2923</v>
      </c>
      <c r="G53" t="b">
        <v>1</v>
      </c>
      <c r="H53" t="b">
        <v>1</v>
      </c>
    </row>
    <row r="54" spans="1:8" x14ac:dyDescent="0.25">
      <c r="A54" t="s">
        <v>18</v>
      </c>
      <c r="B54" t="s">
        <v>26</v>
      </c>
      <c r="C54">
        <v>-1.0454000000000001</v>
      </c>
      <c r="D54">
        <v>0</v>
      </c>
      <c r="E54">
        <v>-1.6004</v>
      </c>
      <c r="F54">
        <v>-0.4904</v>
      </c>
      <c r="G54" t="b">
        <v>1</v>
      </c>
      <c r="H54" t="b">
        <v>1</v>
      </c>
    </row>
    <row r="55" spans="1:8" x14ac:dyDescent="0.25">
      <c r="A55" t="s">
        <v>18</v>
      </c>
      <c r="B55" t="s">
        <v>13</v>
      </c>
      <c r="C55">
        <v>2.4228000000000001</v>
      </c>
      <c r="D55">
        <v>0</v>
      </c>
      <c r="E55">
        <v>1.8677999999999999</v>
      </c>
      <c r="F55">
        <v>2.9777999999999998</v>
      </c>
      <c r="G55" t="b">
        <v>1</v>
      </c>
      <c r="H55" t="b">
        <v>1</v>
      </c>
    </row>
    <row r="56" spans="1:8" x14ac:dyDescent="0.25">
      <c r="A56" t="s">
        <v>26</v>
      </c>
      <c r="B56" t="s">
        <v>13</v>
      </c>
      <c r="C56">
        <v>3.4681999999999999</v>
      </c>
      <c r="D56">
        <v>0</v>
      </c>
      <c r="E56">
        <v>2.9131999999999998</v>
      </c>
      <c r="F56">
        <v>4.0232000000000001</v>
      </c>
      <c r="G56" t="b">
        <v>1</v>
      </c>
      <c r="H56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46C7-BBF7-417F-811F-D96CD678508F}">
  <dimension ref="A1:J28"/>
  <sheetViews>
    <sheetView showGridLines="0" showRowColHeaders="0" tabSelected="1" zoomScale="90" zoomScaleNormal="90" workbookViewId="0">
      <selection activeCell="K10" sqref="K10"/>
    </sheetView>
  </sheetViews>
  <sheetFormatPr defaultRowHeight="15" x14ac:dyDescent="0.25"/>
  <cols>
    <col min="1" max="1" width="21.28515625" customWidth="1"/>
    <col min="2" max="2" width="13.28515625" customWidth="1"/>
    <col min="3" max="3" width="17.85546875" customWidth="1"/>
    <col min="4" max="4" width="21.140625" customWidth="1"/>
    <col min="6" max="6" width="26.5703125" customWidth="1"/>
    <col min="11" max="11" width="9.140625" customWidth="1"/>
  </cols>
  <sheetData>
    <row r="1" spans="1:6" ht="24" x14ac:dyDescent="0.25">
      <c r="A1" s="4" t="s">
        <v>36</v>
      </c>
      <c r="B1" s="4"/>
      <c r="C1" s="4"/>
      <c r="D1" s="4"/>
      <c r="E1" s="4"/>
      <c r="F1" s="4"/>
    </row>
    <row r="2" spans="1:6" ht="18.75" x14ac:dyDescent="0.25">
      <c r="A2" s="3" t="s">
        <v>37</v>
      </c>
      <c r="B2" s="3"/>
      <c r="C2" s="3"/>
      <c r="D2" s="3"/>
      <c r="E2" s="3"/>
      <c r="F2" s="3"/>
    </row>
    <row r="8" spans="1:6" x14ac:dyDescent="0.25">
      <c r="A8" t="s">
        <v>51</v>
      </c>
      <c r="B8" t="s">
        <v>49</v>
      </c>
      <c r="C8" t="s">
        <v>50</v>
      </c>
      <c r="D8" t="s">
        <v>38</v>
      </c>
      <c r="F8" s="1"/>
    </row>
    <row r="9" spans="1:6" x14ac:dyDescent="0.25">
      <c r="A9" t="s">
        <v>13</v>
      </c>
      <c r="B9">
        <v>4.068700436262823</v>
      </c>
      <c r="C9" t="s">
        <v>42</v>
      </c>
      <c r="D9" t="s">
        <v>48</v>
      </c>
    </row>
    <row r="10" spans="1:6" x14ac:dyDescent="0.25">
      <c r="A10" t="s">
        <v>15</v>
      </c>
      <c r="B10">
        <v>2.4502626346258052</v>
      </c>
      <c r="C10" t="s">
        <v>43</v>
      </c>
      <c r="D10" t="s">
        <v>39</v>
      </c>
    </row>
    <row r="11" spans="1:6" x14ac:dyDescent="0.25">
      <c r="A11" t="s">
        <v>17</v>
      </c>
      <c r="B11">
        <v>1.7086533327481079</v>
      </c>
      <c r="C11" t="s">
        <v>43</v>
      </c>
      <c r="D11" t="s">
        <v>39</v>
      </c>
    </row>
    <row r="12" spans="1:6" x14ac:dyDescent="0.25">
      <c r="A12" t="s">
        <v>18</v>
      </c>
      <c r="B12">
        <v>1.6459207759482199</v>
      </c>
      <c r="C12" t="s">
        <v>43</v>
      </c>
      <c r="D12" t="s">
        <v>39</v>
      </c>
    </row>
    <row r="13" spans="1:6" x14ac:dyDescent="0.25">
      <c r="A13" t="s">
        <v>19</v>
      </c>
      <c r="B13">
        <v>1.331378100191825</v>
      </c>
      <c r="C13" t="s">
        <v>44</v>
      </c>
      <c r="D13" t="s">
        <v>40</v>
      </c>
    </row>
    <row r="14" spans="1:6" x14ac:dyDescent="0.25">
      <c r="A14" t="s">
        <v>21</v>
      </c>
      <c r="B14">
        <v>1.2422605435443319</v>
      </c>
      <c r="C14" t="s">
        <v>45</v>
      </c>
      <c r="D14" t="s">
        <v>40</v>
      </c>
    </row>
    <row r="15" spans="1:6" x14ac:dyDescent="0.25">
      <c r="A15" t="s">
        <v>22</v>
      </c>
      <c r="B15">
        <v>0.93362410142584307</v>
      </c>
      <c r="C15" t="s">
        <v>45</v>
      </c>
      <c r="D15" t="s">
        <v>40</v>
      </c>
    </row>
    <row r="16" spans="1:6" x14ac:dyDescent="0.25">
      <c r="A16" t="s">
        <v>23</v>
      </c>
      <c r="B16">
        <v>0.70915232790655669</v>
      </c>
      <c r="C16" t="s">
        <v>47</v>
      </c>
      <c r="D16" t="s">
        <v>41</v>
      </c>
    </row>
    <row r="17" spans="1:10" x14ac:dyDescent="0.25">
      <c r="A17" t="s">
        <v>25</v>
      </c>
      <c r="B17">
        <v>0.67417410929151023</v>
      </c>
      <c r="C17" t="s">
        <v>46</v>
      </c>
      <c r="D17" t="s">
        <v>41</v>
      </c>
    </row>
    <row r="18" spans="1:10" x14ac:dyDescent="0.25">
      <c r="A18" t="s">
        <v>26</v>
      </c>
      <c r="B18">
        <v>0.60049886572300371</v>
      </c>
      <c r="C18" t="s">
        <v>46</v>
      </c>
      <c r="D18" t="s">
        <v>41</v>
      </c>
    </row>
    <row r="19" spans="1:10" x14ac:dyDescent="0.25">
      <c r="A19" t="s">
        <v>27</v>
      </c>
      <c r="B19">
        <v>0.119101853921436</v>
      </c>
      <c r="C19" t="s">
        <v>47</v>
      </c>
      <c r="D19" t="s">
        <v>41</v>
      </c>
    </row>
    <row r="21" spans="1:10" ht="15" customHeight="1" x14ac:dyDescent="0.25">
      <c r="A21" s="2" t="s">
        <v>52</v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5" customHeight="1" x14ac:dyDescent="0.25">
      <c r="A25" s="2" t="s">
        <v>53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</sheetData>
  <mergeCells count="4">
    <mergeCell ref="A25:J28"/>
    <mergeCell ref="A2:F2"/>
    <mergeCell ref="A21:J24"/>
    <mergeCell ref="A1:F1"/>
  </mergeCells>
  <conditionalFormatting sqref="A8:D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ACFBFD-75B1-49FF-A364-DB310D6D68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campaign_summary</vt:lpstr>
      <vt:lpstr>anova_results</vt:lpstr>
      <vt:lpstr>tukey_results</vt:lpstr>
      <vt:lpstr>Executive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deena nizami</dc:creator>
  <cp:lastModifiedBy>deena nizami</cp:lastModifiedBy>
  <dcterms:created xsi:type="dcterms:W3CDTF">2026-01-02T02:04:52Z</dcterms:created>
  <dcterms:modified xsi:type="dcterms:W3CDTF">2026-01-02T04:38:05Z</dcterms:modified>
</cp:coreProperties>
</file>